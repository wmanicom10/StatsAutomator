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willmanicom/StatsAutomator/spreadsheets/"/>
    </mc:Choice>
  </mc:AlternateContent>
  <xr:revisionPtr revIDLastSave="0" documentId="13_ncr:1_{66A227BB-E4AD-2A44-B559-7A0323CF718F}" xr6:coauthVersionLast="47" xr6:coauthVersionMax="47" xr10:uidLastSave="{00000000-0000-0000-0000-000000000000}"/>
  <bookViews>
    <workbookView xWindow="0" yWindow="660" windowWidth="30240" windowHeight="18980" xr2:uid="{A0815421-F77A-534A-8D02-AC6414EF7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 a="1"/>
  <c r="T5" i="1" a="1"/>
  <c r="U5" i="1" a="1"/>
  <c r="V5" i="1" a="1"/>
  <c r="X5" i="1" a="1"/>
  <c r="Y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<sst xmlns="http://schemas.openxmlformats.org/spreadsheetml/2006/main" count="129" uniqueCount="114">
  <si>
    <t>Title</t>
  </si>
  <si>
    <t>Year</t>
  </si>
  <si>
    <t>Date Added</t>
  </si>
  <si>
    <t>Premiere to 5M</t>
  </si>
  <si>
    <t>Theatrical to 5M</t>
  </si>
  <si>
    <t>1M to 5M</t>
  </si>
  <si>
    <t>2M to 5M</t>
  </si>
  <si>
    <t>3M to 5M</t>
  </si>
  <si>
    <t>4M to 5M</t>
  </si>
  <si>
    <t>Barbie</t>
  </si>
  <si>
    <t>Fight Club</t>
  </si>
  <si>
    <t>Interstellar</t>
  </si>
  <si>
    <t>Parasite</t>
  </si>
  <si>
    <t>Joker</t>
  </si>
  <si>
    <t>The Truman Show</t>
  </si>
  <si>
    <t>The Dark Knight</t>
  </si>
  <si>
    <t>Spider-Man: Into the Spider-Verse</t>
  </si>
  <si>
    <t>La La Land</t>
  </si>
  <si>
    <t>Pulp Fiction</t>
  </si>
  <si>
    <t>Get Out</t>
  </si>
  <si>
    <t>Inception</t>
  </si>
  <si>
    <t>Ratatouille</t>
  </si>
  <si>
    <t>Forrest Gump</t>
  </si>
  <si>
    <t>Director</t>
  </si>
  <si>
    <t>Robert Zemeckis</t>
  </si>
  <si>
    <t>Brad Bird</t>
  </si>
  <si>
    <t>Christopher Nolan</t>
  </si>
  <si>
    <t>Jordan Peele</t>
  </si>
  <si>
    <t>Quentin Tarantino</t>
  </si>
  <si>
    <t>Damien Chazelle</t>
  </si>
  <si>
    <t>Bob Persichetti, Peter Ramsey, Rodney Rothman</t>
  </si>
  <si>
    <t>Peter Weir</t>
  </si>
  <si>
    <t>Todd Phillips</t>
  </si>
  <si>
    <t>Bong Joon Ho</t>
  </si>
  <si>
    <t>David Fincher</t>
  </si>
  <si>
    <t>Greta Gerwig</t>
  </si>
  <si>
    <t>The Wolf of Wall Street</t>
  </si>
  <si>
    <t>Martin Scorsese</t>
  </si>
  <si>
    <t>Knives Out</t>
  </si>
  <si>
    <t>Rian Johnson</t>
  </si>
  <si>
    <t>Avengers: Infinity War</t>
  </si>
  <si>
    <t>Anthony Russo, Joe Russo</t>
  </si>
  <si>
    <t>Whiplash</t>
  </si>
  <si>
    <t>Up</t>
  </si>
  <si>
    <t>Pete Docter</t>
  </si>
  <si>
    <t>Inside Out</t>
  </si>
  <si>
    <t>Avengers: Endgame</t>
  </si>
  <si>
    <t>Joe Russo, Anthony Russo</t>
  </si>
  <si>
    <t>Movie</t>
  </si>
  <si>
    <t>1M</t>
  </si>
  <si>
    <t>2M</t>
  </si>
  <si>
    <t>3M</t>
  </si>
  <si>
    <t>4M</t>
  </si>
  <si>
    <t>Sinners</t>
  </si>
  <si>
    <t>Premiere</t>
  </si>
  <si>
    <t>Theatrical</t>
  </si>
  <si>
    <t>Titanic</t>
  </si>
  <si>
    <t>James Cameron</t>
  </si>
  <si>
    <t>Dune</t>
  </si>
  <si>
    <t>Denis Villeneuve</t>
  </si>
  <si>
    <t>Oppenheimer</t>
  </si>
  <si>
    <t>American Psycho</t>
  </si>
  <si>
    <t>Mary Harron</t>
  </si>
  <si>
    <t>10 Things I Hate About You</t>
  </si>
  <si>
    <t>Gil Junger</t>
  </si>
  <si>
    <t>Spirited Away</t>
  </si>
  <si>
    <t>Hayao Miyazaki</t>
  </si>
  <si>
    <t>Harry Potter and the Philosopher's Stone</t>
  </si>
  <si>
    <t>Chris Columbus</t>
  </si>
  <si>
    <t>The Batman</t>
  </si>
  <si>
    <t>Matt Reeves</t>
  </si>
  <si>
    <t>Project Hail Mary</t>
  </si>
  <si>
    <t>Harry Potter and the Prisoner of Azkaban</t>
  </si>
  <si>
    <t>Alfonso Cuarón</t>
  </si>
  <si>
    <t>Spider-Man: No Way Home</t>
  </si>
  <si>
    <t>Jon Watts</t>
  </si>
  <si>
    <t>Mean Girls</t>
  </si>
  <si>
    <t>Mark Waters</t>
  </si>
  <si>
    <t>The Hunger Games</t>
  </si>
  <si>
    <t>Gary Ross</t>
  </si>
  <si>
    <t>Guardians of the Galaxy</t>
  </si>
  <si>
    <t>James Gunn</t>
  </si>
  <si>
    <t>Midsommar</t>
  </si>
  <si>
    <t>Ari Aster</t>
  </si>
  <si>
    <t>Inglourious Basterds</t>
  </si>
  <si>
    <t>Ryan Coogler</t>
  </si>
  <si>
    <t>Home Alone</t>
  </si>
  <si>
    <t>Everything Everywhere All at Once</t>
  </si>
  <si>
    <t>Daniel Scheinert, Daniel Kwan</t>
  </si>
  <si>
    <t>Avatar</t>
  </si>
  <si>
    <t>Top 5 Fastest</t>
  </si>
  <si>
    <t>1M - 5M</t>
  </si>
  <si>
    <t>2M - 5M</t>
  </si>
  <si>
    <t>3M - 5M</t>
  </si>
  <si>
    <t>4M - 5M</t>
  </si>
  <si>
    <t>Dead Poets Society</t>
  </si>
  <si>
    <t>Shrek</t>
  </si>
  <si>
    <t>Andrew Adamson, Vicky Jenson</t>
  </si>
  <si>
    <t>Se7en</t>
  </si>
  <si>
    <t>Shutter Island</t>
  </si>
  <si>
    <t>Obsession</t>
  </si>
  <si>
    <t>The Odyssey</t>
  </si>
  <si>
    <t>Coco</t>
  </si>
  <si>
    <t>Lee Unkrich</t>
  </si>
  <si>
    <t>Spider-Man: Brand New Day</t>
  </si>
  <si>
    <t>Spider-Man: Across the Spider-Verse</t>
  </si>
  <si>
    <t>Justin K. Thompson, Kemp Powers, Joaquim Dos Santos</t>
  </si>
  <si>
    <t>Toy Story</t>
  </si>
  <si>
    <t>John Lasseter</t>
  </si>
  <si>
    <t>Eternal Sunshine of the Spotless Mind</t>
  </si>
  <si>
    <t>Michel Gondry</t>
  </si>
  <si>
    <t>Spider-Man: Homecoming</t>
  </si>
  <si>
    <t>The Devil Wears Prada</t>
  </si>
  <si>
    <t>David Frankel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</si>
</sst>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mmm\ d\,\ yyyy"/>
  </numFmts>
  <fonts count="9" x14ac:knownFonts="1">
    <font>
      <sz val="12"/>
      <color theme="1"/>
      <name val="Aptos Narrow"/>
      <family val="2"/>
      <scheme val="minor"/>
    </font>
    <font>
      <b/>
      <sz val="11"/>
      <color rgb="FFFFFFFF"/>
      <name val="Aptos"/>
    </font>
    <font>
      <sz val="11"/>
      <color rgb="FF1F2937"/>
      <name val="Aptos"/>
    </font>
    <font>
      <b/>
      <sz val="11"/>
      <color rgb="FFFFFFFF"/>
      <name val="Aptos Display"/>
      <scheme val="major"/>
    </font>
    <font>
      <sz val="11"/>
      <color rgb="FF1F2937"/>
      <name val="Aptos Display"/>
      <scheme val="major"/>
    </font>
    <font>
      <sz val="12"/>
      <color rgb="FF1F2937"/>
      <name val="Aptos Narrow"/>
      <scheme val="minor"/>
    </font>
    <font>
      <b/>
      <u/>
      <sz val="12"/>
      <color rgb="FF1F2937"/>
      <name val="Aptos Narrow"/>
      <scheme val="minor"/>
    </font>
    <font>
      <b/>
      <sz val="12"/>
      <color rgb="FF1F2937"/>
      <name val="Aptos Narrow"/>
      <scheme val="minor"/>
    </font>
    <font>
      <sz val="12"/>
      <color rgb="FF1F293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left" vertical="center"/>
    </xf>
    <xf numFmtId="1" fontId="2" fillId="3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5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164" fontId="8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2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3388D7-8DC8-D740-BB97-7EFECA3281D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0af3ce6d-6671-42b0-8545-43c4fe0285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80C5-5C0E-7542-93E7-EF769393ECCB}">
  <sheetPr codeName="Sheet1">
    <tabColor rgb="FF3B82F6"/>
  </sheetPr>
  <dimension ref="A1:AN70"/>
  <sheetViews>
    <sheetView showGridLines="0" tabSelected="1" topLeftCell="P1" zoomScale="86" zoomScaleNormal="166" workbookViewId="0">
      <pane ySplit="1" topLeftCell="A2" activePane="bottomLeft" state="frozen"/>
      <selection pane="bottomLeft" activeCell="V16" sqref="V16"/>
    </sheetView>
  </sheetViews>
  <sheetFormatPr baseColWidth="10" defaultRowHeight="16" x14ac:dyDescent="0.2"/>
  <cols>
    <col min="1" max="1" width="34.5" style="23" bestFit="1" customWidth="1"/>
    <col min="2" max="2" width="5.1640625" style="23" bestFit="1" customWidth="1"/>
    <col min="3" max="3" width="46.5" style="23" bestFit="1" customWidth="1"/>
    <col min="4" max="4" width="17.5" style="27" bestFit="1" customWidth="1"/>
    <col min="5" max="5" width="14.1640625" style="23" bestFit="1" customWidth="1"/>
    <col min="6" max="6" width="14.6640625" style="23" bestFit="1" customWidth="1"/>
    <col min="7" max="10" width="8.83203125" style="23" bestFit="1" customWidth="1"/>
    <col min="11" max="11" width="6.6640625" style="25" customWidth="1"/>
    <col min="12" max="12" width="22.6640625" style="10" bestFit="1" customWidth="1"/>
    <col min="13" max="13" width="15.5" style="13" bestFit="1" customWidth="1"/>
    <col min="14" max="15" width="13" style="13" bestFit="1" customWidth="1"/>
    <col min="16" max="16" width="13.5" style="13" bestFit="1" customWidth="1"/>
    <col min="17" max="17" width="15.1640625" style="13" bestFit="1" customWidth="1"/>
    <col min="18" max="18" width="14.83203125" style="13" bestFit="1" customWidth="1"/>
    <col min="19" max="19" width="10.83203125" style="23"/>
    <col min="20" max="20" width="38.6640625" style="24" customWidth="1"/>
    <col min="21" max="21" width="40.33203125" style="24" customWidth="1"/>
    <col min="22" max="22" width="38.83203125" style="24" customWidth="1"/>
    <col min="23" max="23" width="23.6640625" style="24" customWidth="1"/>
    <col min="24" max="24" width="31.6640625" style="24" customWidth="1"/>
    <col min="25" max="25" width="26.83203125" style="24" bestFit="1" customWidth="1"/>
    <col min="26" max="26" width="13.6640625" style="25" bestFit="1" customWidth="1"/>
    <col min="27" max="27" width="14.1640625" style="25" bestFit="1" customWidth="1"/>
    <col min="28" max="33" width="10.83203125" style="25"/>
    <col min="34" max="34" width="13.6640625" style="25" bestFit="1" customWidth="1"/>
    <col min="35" max="35" width="14.1640625" style="25" bestFit="1" customWidth="1"/>
    <col min="36" max="38" width="10.83203125" style="25"/>
    <col min="39" max="39" width="10.83203125" style="23"/>
    <col min="40" max="40" width="11.83203125" style="26" bestFit="1" customWidth="1"/>
    <col min="41" max="41" width="13.6640625" style="25" bestFit="1" customWidth="1"/>
    <col min="42" max="42" width="14.1640625" style="25" bestFit="1" customWidth="1"/>
    <col min="43" max="16384" width="10.83203125" style="25"/>
  </cols>
  <sheetData>
    <row r="1" spans="1:40" s="8" customFormat="1" ht="30" customHeight="1" x14ac:dyDescent="0.2">
      <c r="A1" s="1" t="s">
        <v>0</v>
      </c>
      <c r="B1" s="1" t="s">
        <v>1</v>
      </c>
      <c r="C1" s="1" t="s">
        <v>23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5"/>
      <c r="M1" s="9"/>
      <c r="N1" s="9"/>
      <c r="O1" s="9"/>
      <c r="P1" s="9"/>
      <c r="Q1" s="9"/>
      <c r="R1" s="9"/>
    </row>
    <row r="2" spans="1:40" s="16" customFormat="1" ht="24" customHeight="1" x14ac:dyDescent="0.2">
      <c r="A2" s="3" t="s">
        <v>112</v>
      </c>
      <c r="B2" s="7">
        <v>2006</v>
      </c>
      <c r="C2" s="3" t="s">
        <v>113</v>
      </c>
      <c r="D2" s="6">
        <v>46240</v>
      </c>
      <c r="E2" s="4">
        <v>7354</v>
      </c>
      <c r="F2" s="4">
        <v>7344</v>
      </c>
      <c r="G2" s="4">
        <v>1214</v>
      </c>
      <c r="H2" s="4">
        <v>702</v>
      </c>
      <c r="I2" s="4">
        <v>377</v>
      </c>
      <c r="J2" s="4">
        <v>137</v>
      </c>
      <c r="K2" s="3"/>
      <c r="L2" s="10"/>
      <c r="M2" s="13"/>
      <c r="N2" s="13"/>
      <c r="O2" s="13"/>
      <c r="P2" s="13"/>
      <c r="Q2" s="13"/>
      <c r="R2" s="13"/>
      <c r="T2" s="17"/>
      <c r="U2" s="17"/>
      <c r="V2" s="17"/>
      <c r="W2" s="17"/>
      <c r="X2" s="17"/>
      <c r="Y2" s="17"/>
      <c r="Z2" s="17"/>
      <c r="AG2" s="18"/>
      <c r="AN2" s="18"/>
    </row>
    <row r="3" spans="1:40" s="16" customFormat="1" ht="24" customHeight="1" x14ac:dyDescent="0.2">
      <c r="A3" s="3" t="s">
        <v>111</v>
      </c>
      <c r="B3" s="7">
        <v>2017</v>
      </c>
      <c r="C3" s="3" t="s">
        <v>75</v>
      </c>
      <c r="D3" s="6">
        <v>46240</v>
      </c>
      <c r="E3" s="4">
        <v>3327</v>
      </c>
      <c r="F3" s="4">
        <v>3320</v>
      </c>
      <c r="G3" s="4">
        <v>1682</v>
      </c>
      <c r="H3" s="4">
        <v>1084</v>
      </c>
      <c r="I3" s="4">
        <v>581</v>
      </c>
      <c r="J3" s="4">
        <v>212</v>
      </c>
      <c r="K3" s="3"/>
      <c r="L3" s="10" t="s">
        <v>48</v>
      </c>
      <c r="M3" s="11" t="s">
        <v>54</v>
      </c>
      <c r="N3" s="11" t="s">
        <v>55</v>
      </c>
      <c r="O3" s="11" t="s">
        <v>49</v>
      </c>
      <c r="P3" s="11" t="s">
        <v>50</v>
      </c>
      <c r="Q3" s="11" t="s">
        <v>51</v>
      </c>
      <c r="R3" s="11" t="s">
        <v>52</v>
      </c>
      <c r="T3" s="28" t="s">
        <v>90</v>
      </c>
      <c r="U3" s="28"/>
      <c r="V3" s="28"/>
      <c r="W3" s="28"/>
      <c r="X3" s="28"/>
      <c r="Y3" s="28"/>
      <c r="Z3" s="17"/>
      <c r="AG3" s="18"/>
      <c r="AN3" s="18"/>
    </row>
    <row r="4" spans="1:40" s="16" customFormat="1" ht="24" customHeight="1" x14ac:dyDescent="0.2">
      <c r="A4" s="3" t="s">
        <v>109</v>
      </c>
      <c r="B4" s="7">
        <v>2004</v>
      </c>
      <c r="C4" s="3" t="s">
        <v>110</v>
      </c>
      <c r="D4" s="6">
        <v>46240</v>
      </c>
      <c r="E4" s="4">
        <v>8186</v>
      </c>
      <c r="F4" s="4">
        <v>8176</v>
      </c>
      <c r="G4" s="4">
        <v>1615</v>
      </c>
      <c r="H4" s="4">
        <v>938</v>
      </c>
      <c r="I4" s="4">
        <v>574</v>
      </c>
      <c r="J4" s="4">
        <v>273</v>
      </c>
      <c r="K4" s="3"/>
      <c r="L4" s="10" t="s">
        <v>53</v>
      </c>
      <c r="M4" s="13">
        <v>45750</v>
      </c>
      <c r="N4" s="13">
        <v>45763</v>
      </c>
      <c r="O4" s="13">
        <v>45785</v>
      </c>
      <c r="P4" s="13">
        <v>45851</v>
      </c>
      <c r="Q4" s="13">
        <v>45966</v>
      </c>
      <c r="R4" s="13">
        <v>46066</v>
      </c>
      <c r="T4" s="19" t="s">
        <v>54</v>
      </c>
      <c r="U4" s="19" t="s">
        <v>55</v>
      </c>
      <c r="V4" s="19" t="s">
        <v>91</v>
      </c>
      <c r="W4" s="19" t="s">
        <v>92</v>
      </c>
      <c r="X4" s="19" t="s">
        <v>93</v>
      </c>
      <c r="Y4" s="20" t="s">
        <v>94</v>
      </c>
      <c r="Z4" s="17"/>
      <c r="AG4" s="18"/>
      <c r="AN4" s="18"/>
    </row>
    <row r="5" spans="1:40" s="16" customFormat="1" ht="24" customHeight="1" x14ac:dyDescent="0.2">
      <c r="A5" s="3" t="s">
        <v>107</v>
      </c>
      <c r="B5" s="7">
        <v>1995</v>
      </c>
      <c r="C5" s="3" t="s">
        <v>108</v>
      </c>
      <c r="D5" s="6">
        <v>46238</v>
      </c>
      <c r="E5" s="4">
        <v>11217</v>
      </c>
      <c r="F5" s="4">
        <v>11214</v>
      </c>
      <c r="G5" s="4">
        <v>1747</v>
      </c>
      <c r="H5" s="4">
        <v>1074</v>
      </c>
      <c r="I5" s="4">
        <v>602</v>
      </c>
      <c r="J5" s="4">
        <v>246</v>
      </c>
      <c r="K5" s="3"/>
      <c r="L5" s="10" t="s">
        <v>71</v>
      </c>
      <c r="M5" s="13">
        <v>46090</v>
      </c>
      <c r="N5" s="13">
        <v>46099</v>
      </c>
      <c r="O5" s="13">
        <v>46110</v>
      </c>
      <c r="P5" s="13">
        <v>46123</v>
      </c>
      <c r="Q5" s="13">
        <v>46160</v>
      </c>
      <c r="R5" s="13">
        <v>46223</v>
      </c>
      <c r="T5" s="21" t="str" cm="1">
        <f t="array" ref="T5:T9">_xlfn.SORTBY(_xlfn._xlws.FILTER(_xlfn.DROP(A1:A51,1)&amp;" - "&amp;_xlfn.DROP(E1:E51,1), _xlfn.DROP(E1:E51,1)&lt;=SMALL(_xlfn.DROP(E1:E51,1),5)), _xlfn._xlws.FILTER(_xlfn.DROP(E1:E51,1), _xlfn.DROP(E1:E51,1)&lt;=SMALL(_xlfn.DROP(E1:E51,1),5)))</f>
        <v>Sinners - 435</v>
      </c>
      <c r="U5" s="21" t="str" cm="1">
        <f t="array" ref="U5:U9">_xlfn.SORTBY(_xlfn._xlws.FILTER(_xlfn.DROP(A1:A51,1)&amp;" - "&amp;_xlfn.DROP(F1:F51,1), _xlfn.DROP(F1:F51,1)&lt;=SMALL(_xlfn.DROP(F1:F51,1),5)), _xlfn._xlws.FILTER(_xlfn.DROP(F1:F51,1), _xlfn.DROP(F1:F51,1)&lt;=SMALL(_xlfn.DROP(F1:F51,1),5)))</f>
        <v>Sinners - 422</v>
      </c>
      <c r="V5" s="21" t="str" cm="1">
        <f t="array" ref="V5:V9">_xlfn.SORTBY(_xlfn._xlws.FILTER(_xlfn.DROP(A1:A51,1)&amp;" - "&amp;_xlfn.DROP(G1:G51,1), _xlfn.DROP(G1:G51,1)&lt;=SMALL(_xlfn.DROP(G1:G51,1),5)), _xlfn._xlws.FILTER(_xlfn.DROP(G1:G51,1), _xlfn.DROP(G1:G51,1)&lt;=SMALL(_xlfn.DROP(G1:G51,1),5)))</f>
        <v>Sinners - 400</v>
      </c>
      <c r="W5" s="21" t="str" cm="1">
        <f t="array" ref="W5:W9">_xlfn.SORTBY(_xlfn._xlws.FILTER(_xlfn.DROP(A1:A51,1)&amp;" - "&amp;_xlfn.DROP(H1:H51,1), (_xlfn.DROP(H1:H51,1)&lt;=SMALL(IF(_xlfn.DROP(H1:H51,1)&lt;&gt;"",_xlfn.DROP(H1:H51,1)),5))*(_xlfn.DROP(H1:H51,1)&lt;&gt;"")), _xlfn._xlws.FILTER(_xlfn.DROP(H1:H51,1), (_xlfn.DROP(H1:H51,1)&lt;=SMALL(IF(_xlfn.DROP(H1:H51,1)&lt;&gt;"",_xlfn.DROP(H1:H51,1)),5))*(_xlfn.DROP(H1:H51,1)&lt;&gt;"")))</f>
        <v>Sinners - 334</v>
      </c>
      <c r="X5" s="21" t="str" cm="1">
        <f t="array" ref="X5:X9">_xlfn.SORTBY(_xlfn._xlws.FILTER(_xlfn.DROP(A1:A51,1)&amp;" - "&amp;_xlfn.DROP(I1:I51,1), _xlfn.DROP(I1:I51,1)&lt;=SMALL(_xlfn.DROP(I1:I51,1),5)), _xlfn._xlws.FILTER(_xlfn.DROP(I1:I51,1), _xlfn.DROP(I1:I51,1)&lt;=SMALL(_xlfn.DROP(I1:I51,1),5)))</f>
        <v>Sinners - 219</v>
      </c>
      <c r="Y5" s="22" t="str" cm="1">
        <f t="array" ref="Y5:Y9">_xlfn.SORTBY(_xlfn._xlws.FILTER(_xlfn.DROP(A1:A51,1)&amp;" - "&amp;_xlfn.DROP(J1:J51,1), _xlfn.DROP(J1:J51,1)&lt;=SMALL(_xlfn.DROP(J1:J51,1),5)), _xlfn._xlws.FILTER(_xlfn.DROP(J1:J51,1), _xlfn.DROP(J1:J51,1)&lt;=SMALL(_xlfn.DROP(J1:J51,1),5)))</f>
        <v>Sinners - 119</v>
      </c>
      <c r="Z5" s="17"/>
      <c r="AG5" s="18"/>
      <c r="AN5" s="18"/>
    </row>
    <row r="6" spans="1:40" s="16" customFormat="1" ht="24" customHeight="1" x14ac:dyDescent="0.2">
      <c r="A6" s="3" t="s">
        <v>105</v>
      </c>
      <c r="B6" s="7">
        <v>2023</v>
      </c>
      <c r="C6" s="3" t="s">
        <v>106</v>
      </c>
      <c r="D6" s="6">
        <v>46237</v>
      </c>
      <c r="E6" s="4">
        <v>1162</v>
      </c>
      <c r="F6" s="4">
        <v>1161</v>
      </c>
      <c r="G6" s="4">
        <v>1107</v>
      </c>
      <c r="H6" s="4">
        <v>868</v>
      </c>
      <c r="I6" s="4">
        <v>527</v>
      </c>
      <c r="J6" s="4">
        <v>216</v>
      </c>
      <c r="K6" s="3"/>
      <c r="L6" s="10" t="s">
        <v>100</v>
      </c>
      <c r="M6" s="13">
        <v>45906</v>
      </c>
      <c r="N6" s="13">
        <v>46155</v>
      </c>
      <c r="O6" s="13">
        <v>46173</v>
      </c>
      <c r="P6" s="13">
        <v>46191</v>
      </c>
      <c r="Q6" s="13">
        <v>46209</v>
      </c>
      <c r="R6" s="13">
        <v>46228</v>
      </c>
      <c r="T6" s="21" t="str">
        <v>Barbie - 599</v>
      </c>
      <c r="U6" s="21" t="str">
        <v>Barbie - 589</v>
      </c>
      <c r="V6" s="21" t="str">
        <v>Barbie - 578</v>
      </c>
      <c r="W6" s="21" t="str">
        <v>Barbie - 496</v>
      </c>
      <c r="X6" s="21" t="str">
        <v>Dead Poets Society - 357</v>
      </c>
      <c r="Y6" s="22" t="str">
        <v>The Devil Wears Prada - 137</v>
      </c>
      <c r="Z6" s="21"/>
      <c r="AG6" s="18"/>
      <c r="AN6" s="18"/>
    </row>
    <row r="7" spans="1:40" s="16" customFormat="1" ht="24" customHeight="1" x14ac:dyDescent="0.2">
      <c r="A7" s="3" t="s">
        <v>102</v>
      </c>
      <c r="B7" s="7">
        <v>2017</v>
      </c>
      <c r="C7" s="3" t="s">
        <v>103</v>
      </c>
      <c r="D7" s="6">
        <v>46231</v>
      </c>
      <c r="E7" s="4">
        <v>3204</v>
      </c>
      <c r="F7" s="4">
        <v>3197</v>
      </c>
      <c r="G7" s="4">
        <v>1595</v>
      </c>
      <c r="H7" s="4">
        <v>958</v>
      </c>
      <c r="I7" s="4">
        <v>570</v>
      </c>
      <c r="J7" s="4">
        <v>242</v>
      </c>
      <c r="K7" s="3"/>
      <c r="L7" s="10" t="s">
        <v>101</v>
      </c>
      <c r="M7" s="13">
        <v>46209</v>
      </c>
      <c r="N7" s="13">
        <v>46218</v>
      </c>
      <c r="O7" s="13">
        <v>46223</v>
      </c>
      <c r="P7" s="13">
        <v>46228</v>
      </c>
      <c r="Q7" s="13">
        <v>46236</v>
      </c>
      <c r="R7" s="13"/>
      <c r="T7" s="21" t="str">
        <v>Oppenheimer - 959</v>
      </c>
      <c r="U7" s="21" t="str">
        <v>Oppenheimer - 951</v>
      </c>
      <c r="V7" s="21" t="str">
        <v>Oppenheimer - 926</v>
      </c>
      <c r="W7" s="21" t="str">
        <v>Dead Poets Society - 666</v>
      </c>
      <c r="X7" s="21" t="str">
        <v>The Devil Wears Prada - 377</v>
      </c>
      <c r="Y7" s="22" t="str">
        <v>Interstellar - 145</v>
      </c>
      <c r="Z7" s="21"/>
      <c r="AG7" s="18"/>
      <c r="AN7" s="18"/>
    </row>
    <row r="8" spans="1:40" s="16" customFormat="1" ht="24" customHeight="1" x14ac:dyDescent="0.2">
      <c r="A8" s="3" t="s">
        <v>99</v>
      </c>
      <c r="B8" s="7">
        <v>2010</v>
      </c>
      <c r="C8" s="3" t="s">
        <v>37</v>
      </c>
      <c r="D8" s="6">
        <v>46214</v>
      </c>
      <c r="E8" s="4">
        <v>5993</v>
      </c>
      <c r="F8" s="4">
        <v>5992</v>
      </c>
      <c r="G8" s="4">
        <v>1556</v>
      </c>
      <c r="H8" s="4">
        <v>934</v>
      </c>
      <c r="I8" s="4">
        <v>552</v>
      </c>
      <c r="J8" s="4">
        <v>230</v>
      </c>
      <c r="K8" s="3"/>
      <c r="L8" s="10" t="s">
        <v>104</v>
      </c>
      <c r="M8" s="13">
        <v>46230</v>
      </c>
      <c r="N8" s="13">
        <v>46231</v>
      </c>
      <c r="O8" s="13">
        <v>46236</v>
      </c>
      <c r="P8" s="13">
        <v>46239</v>
      </c>
      <c r="Q8" s="13"/>
      <c r="R8" s="13"/>
      <c r="T8" s="21" t="str">
        <v>Spider-Man: Across the Spider-Verse - 1162</v>
      </c>
      <c r="U8" s="21" t="str">
        <v>Spider-Man: Across the Spider-Verse - 1161</v>
      </c>
      <c r="V8" s="21" t="str">
        <v>Spider-Man: Across the Spider-Verse - 1107</v>
      </c>
      <c r="W8" s="21" t="str">
        <v>The Devil Wears Prada - 702</v>
      </c>
      <c r="X8" s="21" t="str">
        <v>Barbie - 384</v>
      </c>
      <c r="Y8" s="22" t="str">
        <v>Dead Poets Society - 178</v>
      </c>
      <c r="Z8" s="21"/>
      <c r="AG8" s="18"/>
      <c r="AN8" s="18"/>
    </row>
    <row r="9" spans="1:40" s="16" customFormat="1" ht="24" customHeight="1" x14ac:dyDescent="0.2">
      <c r="A9" s="3" t="s">
        <v>98</v>
      </c>
      <c r="B9" s="7">
        <v>1995</v>
      </c>
      <c r="C9" s="3" t="s">
        <v>34</v>
      </c>
      <c r="D9" s="6">
        <v>46211</v>
      </c>
      <c r="E9" s="4">
        <v>11255</v>
      </c>
      <c r="F9" s="4">
        <v>11248</v>
      </c>
      <c r="G9" s="4">
        <v>1579</v>
      </c>
      <c r="H9" s="4">
        <v>922</v>
      </c>
      <c r="I9" s="4">
        <v>533</v>
      </c>
      <c r="J9" s="4">
        <v>236</v>
      </c>
      <c r="K9" s="3"/>
      <c r="T9" s="21" t="str">
        <v>The Batman - 1500</v>
      </c>
      <c r="U9" s="21" t="str">
        <v>The Batman - 1433</v>
      </c>
      <c r="V9" s="21" t="str">
        <v>10 Things I Hate About You - 1171</v>
      </c>
      <c r="W9" s="21" t="str">
        <v>Interstellar - 737</v>
      </c>
      <c r="X9" s="21" t="str">
        <v>10 Things I Hate About You - 416</v>
      </c>
      <c r="Y9" s="22" t="str">
        <v>10 Things I Hate About You - 178</v>
      </c>
      <c r="Z9" s="21"/>
      <c r="AG9" s="18"/>
      <c r="AN9" s="18"/>
    </row>
    <row r="10" spans="1:40" s="16" customFormat="1" ht="24" customHeight="1" x14ac:dyDescent="0.2">
      <c r="A10" s="3" t="s">
        <v>96</v>
      </c>
      <c r="B10" s="7">
        <v>2001</v>
      </c>
      <c r="C10" s="3" t="s">
        <v>97</v>
      </c>
      <c r="D10" s="6">
        <v>46206</v>
      </c>
      <c r="E10" s="4">
        <v>9204</v>
      </c>
      <c r="F10" s="4">
        <v>9178</v>
      </c>
      <c r="G10" s="4">
        <v>1563</v>
      </c>
      <c r="H10" s="4">
        <v>931</v>
      </c>
      <c r="I10" s="4">
        <v>550</v>
      </c>
      <c r="J10" s="4">
        <v>253</v>
      </c>
      <c r="K10" s="3"/>
      <c r="T10" s="21"/>
      <c r="U10" s="21"/>
      <c r="V10" s="21"/>
      <c r="W10" s="21"/>
      <c r="X10" s="21"/>
      <c r="Y10" s="22"/>
      <c r="Z10" s="21"/>
      <c r="AG10" s="18"/>
      <c r="AN10" s="18"/>
    </row>
    <row r="11" spans="1:40" s="16" customFormat="1" ht="24" customHeight="1" x14ac:dyDescent="0.2">
      <c r="A11" s="3" t="s">
        <v>95</v>
      </c>
      <c r="B11" s="7">
        <v>1989</v>
      </c>
      <c r="C11" s="3" t="s">
        <v>31</v>
      </c>
      <c r="D11" s="6">
        <v>46204</v>
      </c>
      <c r="E11" s="4">
        <v>13453</v>
      </c>
      <c r="F11" s="4">
        <v>13544</v>
      </c>
      <c r="G11" s="4">
        <v>1244</v>
      </c>
      <c r="H11" s="4">
        <v>666</v>
      </c>
      <c r="I11" s="4">
        <v>357</v>
      </c>
      <c r="J11" s="4">
        <v>178</v>
      </c>
      <c r="K11" s="3"/>
      <c r="L11" s="10"/>
      <c r="M11" s="13"/>
      <c r="N11" s="13"/>
      <c r="O11" s="13"/>
      <c r="P11" s="13"/>
      <c r="Q11" s="13"/>
      <c r="R11" s="13"/>
      <c r="Z11" s="21"/>
      <c r="AG11" s="18"/>
      <c r="AN11" s="18"/>
    </row>
    <row r="12" spans="1:40" s="16" customFormat="1" ht="24" customHeight="1" x14ac:dyDescent="0.2">
      <c r="A12" s="3" t="s">
        <v>89</v>
      </c>
      <c r="B12" s="7">
        <v>2009</v>
      </c>
      <c r="C12" s="3" t="s">
        <v>57</v>
      </c>
      <c r="D12" s="6">
        <v>46200</v>
      </c>
      <c r="E12" s="4">
        <v>6044</v>
      </c>
      <c r="F12" s="4">
        <v>6038</v>
      </c>
      <c r="G12" s="4">
        <v>1545</v>
      </c>
      <c r="H12" s="4">
        <v>978</v>
      </c>
      <c r="I12" s="4">
        <v>535</v>
      </c>
      <c r="J12" s="4">
        <v>190</v>
      </c>
      <c r="K12" s="3"/>
      <c r="L12" s="10"/>
      <c r="M12" s="13"/>
      <c r="N12" s="13"/>
      <c r="O12" s="13"/>
      <c r="P12" s="13"/>
      <c r="Q12" s="13"/>
      <c r="R12" s="13"/>
      <c r="AG12" s="18"/>
      <c r="AN12" s="18"/>
    </row>
    <row r="13" spans="1:40" s="16" customFormat="1" ht="24" customHeight="1" x14ac:dyDescent="0.2">
      <c r="A13" s="3" t="s">
        <v>87</v>
      </c>
      <c r="B13" s="7">
        <v>2022</v>
      </c>
      <c r="C13" s="3" t="s">
        <v>88</v>
      </c>
      <c r="D13" s="6">
        <v>46191</v>
      </c>
      <c r="E13" s="4">
        <v>1561</v>
      </c>
      <c r="F13" s="4">
        <v>1548</v>
      </c>
      <c r="G13" s="4">
        <v>1270</v>
      </c>
      <c r="H13" s="4">
        <v>1034</v>
      </c>
      <c r="I13" s="4">
        <v>712</v>
      </c>
      <c r="J13" s="4">
        <v>348</v>
      </c>
      <c r="K13" s="3"/>
      <c r="AG13" s="18"/>
      <c r="AN13" s="18"/>
    </row>
    <row r="14" spans="1:40" s="16" customFormat="1" ht="24" customHeight="1" x14ac:dyDescent="0.2">
      <c r="A14" s="3" t="s">
        <v>86</v>
      </c>
      <c r="B14" s="7">
        <v>1990</v>
      </c>
      <c r="C14" s="3" t="s">
        <v>68</v>
      </c>
      <c r="D14" s="6">
        <v>46191</v>
      </c>
      <c r="E14" s="4">
        <v>13005</v>
      </c>
      <c r="F14" s="4">
        <v>12999</v>
      </c>
      <c r="G14" s="4">
        <v>1483</v>
      </c>
      <c r="H14" s="4">
        <v>890</v>
      </c>
      <c r="I14" s="4">
        <v>525</v>
      </c>
      <c r="J14" s="4">
        <v>187</v>
      </c>
      <c r="K14" s="3"/>
      <c r="AG14" s="18"/>
      <c r="AN14" s="18"/>
    </row>
    <row r="15" spans="1:40" s="16" customFormat="1" ht="24" customHeight="1" x14ac:dyDescent="0.2">
      <c r="A15" s="3" t="s">
        <v>53</v>
      </c>
      <c r="B15" s="7">
        <v>2025</v>
      </c>
      <c r="C15" s="3" t="s">
        <v>85</v>
      </c>
      <c r="D15" s="6">
        <v>46184</v>
      </c>
      <c r="E15" s="4">
        <v>435</v>
      </c>
      <c r="F15" s="4">
        <v>422</v>
      </c>
      <c r="G15" s="4">
        <v>400</v>
      </c>
      <c r="H15" s="4">
        <v>334</v>
      </c>
      <c r="I15" s="4">
        <v>219</v>
      </c>
      <c r="J15" s="4">
        <v>119</v>
      </c>
      <c r="K15" s="3"/>
      <c r="AG15" s="18"/>
      <c r="AN15" s="18"/>
    </row>
    <row r="16" spans="1:40" s="16" customFormat="1" ht="24" customHeight="1" x14ac:dyDescent="0.2">
      <c r="A16" s="3" t="s">
        <v>84</v>
      </c>
      <c r="B16" s="7">
        <v>2009</v>
      </c>
      <c r="C16" s="3" t="s">
        <v>28</v>
      </c>
      <c r="D16" s="6">
        <v>46176</v>
      </c>
      <c r="E16" s="4">
        <v>6224</v>
      </c>
      <c r="F16" s="4">
        <v>6133</v>
      </c>
      <c r="G16" s="4">
        <v>1738</v>
      </c>
      <c r="H16" s="4">
        <v>1032</v>
      </c>
      <c r="I16" s="4">
        <v>547</v>
      </c>
      <c r="J16" s="4">
        <v>242</v>
      </c>
      <c r="K16" s="3"/>
      <c r="AG16" s="18"/>
      <c r="AN16" s="18"/>
    </row>
    <row r="17" spans="1:40" s="16" customFormat="1" ht="24" customHeight="1" x14ac:dyDescent="0.2">
      <c r="A17" s="3" t="s">
        <v>82</v>
      </c>
      <c r="B17" s="7">
        <v>2019</v>
      </c>
      <c r="C17" s="3" t="s">
        <v>83</v>
      </c>
      <c r="D17" s="6">
        <v>46176</v>
      </c>
      <c r="E17" s="4">
        <v>2543</v>
      </c>
      <c r="F17" s="4">
        <v>2528</v>
      </c>
      <c r="G17" s="4">
        <v>1600</v>
      </c>
      <c r="H17" s="4">
        <v>1046</v>
      </c>
      <c r="I17" s="4">
        <v>677</v>
      </c>
      <c r="J17" s="4">
        <v>330</v>
      </c>
      <c r="K17" s="3"/>
      <c r="AG17" s="18"/>
      <c r="AN17" s="18"/>
    </row>
    <row r="18" spans="1:40" s="16" customFormat="1" ht="24" customHeight="1" x14ac:dyDescent="0.2">
      <c r="A18" s="3" t="s">
        <v>80</v>
      </c>
      <c r="B18" s="7">
        <v>2014</v>
      </c>
      <c r="C18" s="3" t="s">
        <v>81</v>
      </c>
      <c r="D18" s="6">
        <v>46171</v>
      </c>
      <c r="E18" s="4">
        <v>4331</v>
      </c>
      <c r="F18" s="4">
        <v>4322</v>
      </c>
      <c r="G18" s="4">
        <v>1795</v>
      </c>
      <c r="H18" s="4">
        <v>1149</v>
      </c>
      <c r="I18" s="4">
        <v>706</v>
      </c>
      <c r="J18" s="4">
        <v>308</v>
      </c>
      <c r="K18" s="3"/>
      <c r="AG18" s="18"/>
      <c r="AN18" s="18"/>
    </row>
    <row r="19" spans="1:40" s="16" customFormat="1" ht="24" customHeight="1" x14ac:dyDescent="0.2">
      <c r="A19" s="3" t="s">
        <v>78</v>
      </c>
      <c r="B19" s="7">
        <v>2012</v>
      </c>
      <c r="C19" s="3" t="s">
        <v>79</v>
      </c>
      <c r="D19" s="6">
        <v>46170</v>
      </c>
      <c r="E19" s="4">
        <v>5191</v>
      </c>
      <c r="F19" s="4">
        <v>5191</v>
      </c>
      <c r="G19" s="4">
        <v>1451</v>
      </c>
      <c r="H19" s="4">
        <v>881</v>
      </c>
      <c r="I19" s="4">
        <v>510</v>
      </c>
      <c r="J19" s="4">
        <v>224</v>
      </c>
      <c r="K19" s="3"/>
      <c r="L19" s="10"/>
      <c r="M19" s="13"/>
      <c r="N19" s="13"/>
      <c r="O19" s="13"/>
      <c r="Q19" s="13"/>
      <c r="R19" s="13"/>
      <c r="AG19" s="18"/>
      <c r="AN19" s="18"/>
    </row>
    <row r="20" spans="1:40" s="16" customFormat="1" ht="24" customHeight="1" x14ac:dyDescent="0.2">
      <c r="A20" s="3" t="s">
        <v>76</v>
      </c>
      <c r="B20" s="7">
        <v>2004</v>
      </c>
      <c r="C20" s="3" t="s">
        <v>77</v>
      </c>
      <c r="D20" s="6">
        <v>46157</v>
      </c>
      <c r="E20" s="4">
        <v>8051</v>
      </c>
      <c r="F20" s="4">
        <v>8051</v>
      </c>
      <c r="G20" s="4">
        <v>1363</v>
      </c>
      <c r="H20" s="4">
        <v>844</v>
      </c>
      <c r="I20" s="4">
        <v>500</v>
      </c>
      <c r="J20" s="4">
        <v>222</v>
      </c>
      <c r="K20" s="3"/>
      <c r="L20" s="10"/>
      <c r="M20" s="13"/>
      <c r="N20" s="13"/>
      <c r="O20" s="13"/>
      <c r="P20" s="13"/>
      <c r="Q20" s="13"/>
      <c r="R20" s="13"/>
      <c r="T20" s="21"/>
      <c r="U20" s="21"/>
      <c r="V20" s="21"/>
      <c r="W20" s="21"/>
      <c r="X20" s="21"/>
      <c r="Y20" s="22"/>
      <c r="AG20" s="18"/>
      <c r="AN20" s="18"/>
    </row>
    <row r="21" spans="1:40" s="16" customFormat="1" ht="24" customHeight="1" x14ac:dyDescent="0.2">
      <c r="A21" s="3" t="s">
        <v>74</v>
      </c>
      <c r="B21" s="7">
        <v>2021</v>
      </c>
      <c r="C21" s="3" t="s">
        <v>75</v>
      </c>
      <c r="D21" s="6">
        <v>46139</v>
      </c>
      <c r="E21" s="4">
        <v>1597</v>
      </c>
      <c r="F21" s="4">
        <v>1595</v>
      </c>
      <c r="G21" s="4">
        <v>1440</v>
      </c>
      <c r="H21" s="4">
        <v>1008</v>
      </c>
      <c r="I21" s="4">
        <v>638</v>
      </c>
      <c r="J21" s="4">
        <v>275</v>
      </c>
      <c r="K21" s="3"/>
      <c r="L21" s="10"/>
      <c r="M21" s="13"/>
      <c r="N21" s="13"/>
      <c r="O21" s="13"/>
      <c r="P21" s="13"/>
      <c r="Q21" s="13"/>
      <c r="R21" s="13"/>
      <c r="T21" s="21"/>
      <c r="U21" s="21"/>
      <c r="V21" s="21"/>
      <c r="W21" s="21"/>
      <c r="X21" s="21"/>
      <c r="Y21" s="22"/>
      <c r="AG21" s="18"/>
      <c r="AN21" s="18"/>
    </row>
    <row r="22" spans="1:40" s="16" customFormat="1" ht="24" customHeight="1" x14ac:dyDescent="0.2">
      <c r="A22" s="3" t="s">
        <v>72</v>
      </c>
      <c r="B22" s="7">
        <v>2004</v>
      </c>
      <c r="C22" s="3" t="s">
        <v>73</v>
      </c>
      <c r="D22" s="6">
        <v>46125</v>
      </c>
      <c r="E22" s="4">
        <v>7996</v>
      </c>
      <c r="F22" s="4">
        <v>7988</v>
      </c>
      <c r="G22" s="4">
        <v>1551</v>
      </c>
      <c r="H22" s="4">
        <v>906</v>
      </c>
      <c r="I22" s="4">
        <v>507</v>
      </c>
      <c r="J22" s="4">
        <v>228</v>
      </c>
      <c r="K22" s="3"/>
      <c r="L22" s="10"/>
      <c r="M22" s="13"/>
      <c r="N22" s="13"/>
      <c r="O22" s="13"/>
      <c r="P22" s="13"/>
      <c r="Q22" s="13"/>
      <c r="R22" s="13"/>
      <c r="T22" s="21"/>
      <c r="U22" s="21"/>
      <c r="V22" s="21"/>
      <c r="W22" s="21"/>
      <c r="X22" s="21"/>
      <c r="Y22" s="22"/>
      <c r="AG22" s="18"/>
      <c r="AN22" s="18"/>
    </row>
    <row r="23" spans="1:40" s="16" customFormat="1" ht="24" customHeight="1" x14ac:dyDescent="0.2">
      <c r="A23" s="3" t="s">
        <v>69</v>
      </c>
      <c r="B23" s="7">
        <v>2022</v>
      </c>
      <c r="C23" s="3" t="s">
        <v>70</v>
      </c>
      <c r="D23" s="6">
        <v>46114</v>
      </c>
      <c r="E23" s="4">
        <v>1500</v>
      </c>
      <c r="F23" s="4">
        <v>1433</v>
      </c>
      <c r="G23" s="4">
        <v>1377</v>
      </c>
      <c r="H23" s="4">
        <v>984</v>
      </c>
      <c r="I23" s="4">
        <v>624</v>
      </c>
      <c r="J23" s="4">
        <v>276</v>
      </c>
      <c r="K23" s="3"/>
      <c r="L23" s="10"/>
      <c r="M23" s="13"/>
      <c r="N23" s="13"/>
      <c r="O23" s="13"/>
      <c r="P23" s="13"/>
      <c r="Q23" s="13"/>
      <c r="R23" s="13"/>
      <c r="T23" s="21"/>
      <c r="U23" s="21"/>
      <c r="V23" s="21"/>
      <c r="W23" s="21"/>
      <c r="X23" s="21"/>
      <c r="Y23" s="22"/>
      <c r="AG23" s="18"/>
      <c r="AN23" s="18"/>
    </row>
    <row r="24" spans="1:40" s="16" customFormat="1" ht="24" customHeight="1" x14ac:dyDescent="0.2">
      <c r="A24" s="3" t="s">
        <v>67</v>
      </c>
      <c r="B24" s="7">
        <v>2001</v>
      </c>
      <c r="C24" s="3" t="s">
        <v>68</v>
      </c>
      <c r="D24" s="6">
        <v>46111</v>
      </c>
      <c r="E24" s="4">
        <v>8913</v>
      </c>
      <c r="F24" s="4">
        <v>8901</v>
      </c>
      <c r="G24" s="4">
        <v>1540</v>
      </c>
      <c r="H24" s="4">
        <v>890</v>
      </c>
      <c r="I24" s="4">
        <v>499</v>
      </c>
      <c r="J24" s="4">
        <v>223</v>
      </c>
      <c r="K24" s="3"/>
      <c r="L24" s="10"/>
      <c r="M24" s="13"/>
      <c r="N24" s="13"/>
      <c r="O24" s="13"/>
      <c r="P24" s="13"/>
      <c r="Q24" s="13"/>
      <c r="R24" s="13"/>
      <c r="T24" s="21"/>
      <c r="U24" s="21"/>
      <c r="V24" s="21"/>
      <c r="W24" s="21"/>
      <c r="X24" s="21"/>
      <c r="Y24" s="22"/>
      <c r="AG24" s="18"/>
      <c r="AN24" s="18"/>
    </row>
    <row r="25" spans="1:40" s="16" customFormat="1" ht="24" customHeight="1" x14ac:dyDescent="0.2">
      <c r="A25" s="3" t="s">
        <v>65</v>
      </c>
      <c r="B25" s="7">
        <v>2001</v>
      </c>
      <c r="C25" s="3" t="s">
        <v>66</v>
      </c>
      <c r="D25" s="6">
        <v>46099</v>
      </c>
      <c r="E25" s="4">
        <v>9008</v>
      </c>
      <c r="F25" s="4">
        <v>9008</v>
      </c>
      <c r="G25" s="4">
        <v>1527</v>
      </c>
      <c r="H25" s="4">
        <v>930</v>
      </c>
      <c r="I25" s="4">
        <v>554</v>
      </c>
      <c r="J25" s="4">
        <v>246</v>
      </c>
      <c r="K25" s="3"/>
      <c r="L25" s="10"/>
      <c r="M25" s="13"/>
      <c r="N25" s="13"/>
      <c r="O25" s="13"/>
      <c r="P25" s="13"/>
      <c r="Q25" s="13"/>
      <c r="R25" s="13"/>
      <c r="T25" s="21"/>
      <c r="U25" s="21"/>
      <c r="V25" s="21"/>
      <c r="W25" s="21"/>
      <c r="X25" s="21"/>
      <c r="Y25" s="22"/>
      <c r="AG25" s="18"/>
      <c r="AN25" s="18"/>
    </row>
    <row r="26" spans="1:40" s="16" customFormat="1" ht="24" customHeight="1" x14ac:dyDescent="0.2">
      <c r="A26" s="3" t="s">
        <v>63</v>
      </c>
      <c r="B26" s="7">
        <v>1999</v>
      </c>
      <c r="C26" s="3" t="s">
        <v>64</v>
      </c>
      <c r="D26" s="6">
        <v>46084</v>
      </c>
      <c r="E26" s="4">
        <v>9836</v>
      </c>
      <c r="F26" s="4">
        <v>9836</v>
      </c>
      <c r="G26" s="4">
        <v>1171</v>
      </c>
      <c r="H26" s="4"/>
      <c r="I26" s="4">
        <v>416</v>
      </c>
      <c r="J26" s="4">
        <v>178</v>
      </c>
      <c r="K26" s="3"/>
      <c r="L26" s="10"/>
      <c r="M26" s="13"/>
      <c r="N26" s="13"/>
      <c r="O26" s="13"/>
      <c r="P26" s="13"/>
      <c r="Q26" s="13"/>
      <c r="R26" s="13"/>
      <c r="T26" s="21"/>
      <c r="U26" s="21"/>
      <c r="V26" s="21"/>
      <c r="W26" s="21"/>
      <c r="X26" s="21"/>
      <c r="Y26" s="22"/>
      <c r="AG26" s="18"/>
      <c r="AN26" s="18"/>
    </row>
    <row r="27" spans="1:40" s="16" customFormat="1" ht="24" customHeight="1" x14ac:dyDescent="0.2">
      <c r="A27" s="3" t="s">
        <v>61</v>
      </c>
      <c r="B27" s="7">
        <v>2000</v>
      </c>
      <c r="C27" s="3" t="s">
        <v>62</v>
      </c>
      <c r="D27" s="6">
        <v>46083</v>
      </c>
      <c r="E27" s="4">
        <v>9538</v>
      </c>
      <c r="F27" s="4">
        <v>9455</v>
      </c>
      <c r="G27" s="4">
        <v>1391</v>
      </c>
      <c r="H27" s="4">
        <v>903</v>
      </c>
      <c r="I27" s="4">
        <v>528</v>
      </c>
      <c r="J27" s="4">
        <v>234</v>
      </c>
      <c r="K27" s="3"/>
      <c r="L27" s="10"/>
      <c r="M27" s="13"/>
      <c r="N27" s="13"/>
      <c r="O27" s="13"/>
      <c r="P27" s="13"/>
      <c r="Q27" s="13"/>
      <c r="R27" s="13"/>
      <c r="T27" s="21"/>
      <c r="U27" s="21"/>
      <c r="V27" s="21"/>
      <c r="W27" s="21"/>
      <c r="X27" s="21"/>
      <c r="Y27" s="22"/>
      <c r="AG27" s="18"/>
      <c r="AN27" s="18"/>
    </row>
    <row r="28" spans="1:40" s="16" customFormat="1" ht="24" customHeight="1" x14ac:dyDescent="0.2">
      <c r="A28" s="3" t="s">
        <v>60</v>
      </c>
      <c r="B28" s="7">
        <v>2023</v>
      </c>
      <c r="C28" s="3" t="s">
        <v>26</v>
      </c>
      <c r="D28" s="6">
        <v>46076</v>
      </c>
      <c r="E28" s="4">
        <v>959</v>
      </c>
      <c r="F28" s="4">
        <v>951</v>
      </c>
      <c r="G28" s="4">
        <v>926</v>
      </c>
      <c r="H28" s="4">
        <v>753</v>
      </c>
      <c r="I28" s="4">
        <v>493</v>
      </c>
      <c r="J28" s="4">
        <v>225</v>
      </c>
      <c r="K28" s="3"/>
      <c r="L28" s="10"/>
      <c r="M28" s="13"/>
      <c r="N28" s="13"/>
      <c r="O28" s="13"/>
      <c r="P28" s="13"/>
      <c r="Q28" s="13"/>
      <c r="R28" s="13"/>
      <c r="T28" s="21"/>
      <c r="U28" s="21"/>
      <c r="V28" s="21"/>
      <c r="W28" s="21"/>
      <c r="X28" s="21"/>
      <c r="Y28" s="22"/>
      <c r="AG28" s="18"/>
      <c r="AN28" s="18"/>
    </row>
    <row r="29" spans="1:40" s="16" customFormat="1" ht="24" customHeight="1" x14ac:dyDescent="0.2">
      <c r="A29" s="3" t="s">
        <v>58</v>
      </c>
      <c r="B29" s="7">
        <v>2021</v>
      </c>
      <c r="C29" s="3" t="s">
        <v>59</v>
      </c>
      <c r="D29" s="6">
        <v>46074</v>
      </c>
      <c r="E29" s="4">
        <v>1633</v>
      </c>
      <c r="F29" s="4">
        <v>1621</v>
      </c>
      <c r="G29" s="4">
        <v>1297</v>
      </c>
      <c r="H29" s="4">
        <v>751</v>
      </c>
      <c r="I29" s="4">
        <v>579</v>
      </c>
      <c r="J29" s="4">
        <v>275</v>
      </c>
      <c r="K29" s="3"/>
      <c r="L29" s="10"/>
      <c r="M29" s="13"/>
      <c r="N29" s="13"/>
      <c r="O29" s="13"/>
      <c r="P29" s="13"/>
      <c r="Q29" s="13"/>
      <c r="R29" s="13"/>
      <c r="T29" s="21"/>
      <c r="U29" s="21"/>
      <c r="V29" s="21"/>
      <c r="W29" s="21"/>
      <c r="X29" s="21"/>
      <c r="Y29" s="22"/>
      <c r="AG29" s="18"/>
      <c r="AN29" s="18"/>
    </row>
    <row r="30" spans="1:40" s="16" customFormat="1" ht="24" customHeight="1" x14ac:dyDescent="0.2">
      <c r="A30" s="3" t="s">
        <v>56</v>
      </c>
      <c r="B30" s="7">
        <v>1997</v>
      </c>
      <c r="C30" s="3" t="s">
        <v>57</v>
      </c>
      <c r="D30" s="6">
        <v>46073</v>
      </c>
      <c r="E30" s="4">
        <v>10339</v>
      </c>
      <c r="F30" s="4">
        <v>10292</v>
      </c>
      <c r="G30" s="4">
        <v>1511</v>
      </c>
      <c r="H30" s="4">
        <v>895</v>
      </c>
      <c r="I30" s="4">
        <v>524</v>
      </c>
      <c r="J30" s="4">
        <v>227</v>
      </c>
      <c r="K30" s="3"/>
      <c r="L30" s="10"/>
      <c r="M30" s="13"/>
      <c r="N30" s="13"/>
      <c r="O30" s="13"/>
      <c r="P30" s="13"/>
      <c r="Q30" s="13"/>
      <c r="R30" s="13"/>
      <c r="T30" s="21"/>
      <c r="U30" s="21"/>
      <c r="V30" s="21"/>
      <c r="W30" s="21"/>
      <c r="X30" s="21"/>
      <c r="Y30" s="22"/>
      <c r="AG30" s="18"/>
      <c r="AN30" s="18"/>
    </row>
    <row r="31" spans="1:40" s="16" customFormat="1" ht="24" customHeight="1" x14ac:dyDescent="0.2">
      <c r="A31" s="3" t="s">
        <v>46</v>
      </c>
      <c r="B31" s="7">
        <v>2019</v>
      </c>
      <c r="C31" s="3" t="s">
        <v>47</v>
      </c>
      <c r="D31" s="6">
        <v>46054</v>
      </c>
      <c r="E31" s="4">
        <v>2478</v>
      </c>
      <c r="F31" s="4">
        <v>2476</v>
      </c>
      <c r="G31" s="4">
        <v>1560</v>
      </c>
      <c r="H31" s="4">
        <v>1020</v>
      </c>
      <c r="I31" s="4">
        <v>625</v>
      </c>
      <c r="J31" s="4">
        <v>256</v>
      </c>
      <c r="K31" s="3"/>
      <c r="L31" s="10"/>
      <c r="M31" s="13"/>
      <c r="N31" s="13"/>
      <c r="O31" s="13"/>
      <c r="P31" s="13"/>
      <c r="Q31" s="13"/>
      <c r="R31" s="13"/>
      <c r="T31" s="21"/>
      <c r="U31" s="21"/>
      <c r="V31" s="21"/>
      <c r="W31" s="21"/>
      <c r="X31" s="21"/>
      <c r="Y31" s="22"/>
      <c r="AG31" s="18"/>
      <c r="AN31" s="18"/>
    </row>
    <row r="32" spans="1:40" s="16" customFormat="1" ht="24" customHeight="1" x14ac:dyDescent="0.2">
      <c r="A32" s="3" t="s">
        <v>45</v>
      </c>
      <c r="B32" s="7">
        <v>2015</v>
      </c>
      <c r="C32" s="3" t="s">
        <v>44</v>
      </c>
      <c r="D32" s="6">
        <v>46051</v>
      </c>
      <c r="E32" s="4">
        <v>3910</v>
      </c>
      <c r="F32" s="4">
        <v>3880</v>
      </c>
      <c r="G32" s="4">
        <v>1581</v>
      </c>
      <c r="H32" s="4">
        <v>920</v>
      </c>
      <c r="I32" s="4">
        <v>576</v>
      </c>
      <c r="J32" s="4">
        <v>284</v>
      </c>
      <c r="K32" s="3"/>
      <c r="L32" s="10"/>
      <c r="M32" s="13"/>
      <c r="N32" s="13"/>
      <c r="O32" s="13"/>
      <c r="P32" s="13"/>
      <c r="Q32" s="13"/>
      <c r="R32" s="13"/>
      <c r="T32" s="21"/>
      <c r="U32" s="21"/>
      <c r="V32" s="21"/>
      <c r="W32" s="21"/>
      <c r="X32" s="21"/>
      <c r="Y32" s="22"/>
      <c r="AG32" s="18"/>
      <c r="AN32" s="18"/>
    </row>
    <row r="33" spans="1:40" s="16" customFormat="1" ht="24" customHeight="1" x14ac:dyDescent="0.2">
      <c r="A33" s="3" t="s">
        <v>43</v>
      </c>
      <c r="B33" s="7">
        <v>2009</v>
      </c>
      <c r="C33" s="3" t="s">
        <v>44</v>
      </c>
      <c r="D33" s="6">
        <v>46049</v>
      </c>
      <c r="E33" s="4">
        <v>6104</v>
      </c>
      <c r="F33" s="4">
        <v>6089</v>
      </c>
      <c r="G33" s="4">
        <v>1578</v>
      </c>
      <c r="H33" s="4">
        <v>959</v>
      </c>
      <c r="I33" s="4">
        <v>592</v>
      </c>
      <c r="J33" s="4">
        <v>268</v>
      </c>
      <c r="K33" s="3"/>
      <c r="L33" s="10"/>
      <c r="M33" s="13"/>
      <c r="N33" s="13"/>
      <c r="O33" s="13"/>
      <c r="P33" s="13"/>
      <c r="Q33" s="13"/>
      <c r="R33" s="13"/>
      <c r="T33" s="21"/>
      <c r="U33" s="21"/>
      <c r="V33" s="21"/>
      <c r="W33" s="21"/>
      <c r="X33" s="21"/>
      <c r="Y33" s="22"/>
      <c r="AG33" s="18"/>
      <c r="AN33" s="18"/>
    </row>
    <row r="34" spans="1:40" s="16" customFormat="1" ht="24" customHeight="1" x14ac:dyDescent="0.2">
      <c r="A34" s="3" t="s">
        <v>42</v>
      </c>
      <c r="B34" s="7">
        <v>2014</v>
      </c>
      <c r="C34" s="3" t="s">
        <v>29</v>
      </c>
      <c r="D34" s="6">
        <v>46032</v>
      </c>
      <c r="E34" s="4">
        <v>4378</v>
      </c>
      <c r="F34" s="4">
        <v>4111</v>
      </c>
      <c r="G34" s="4">
        <v>1413</v>
      </c>
      <c r="H34" s="4">
        <v>898</v>
      </c>
      <c r="I34" s="4">
        <v>548</v>
      </c>
      <c r="J34" s="4">
        <v>256</v>
      </c>
      <c r="K34" s="3"/>
      <c r="L34" s="10"/>
      <c r="M34" s="13"/>
      <c r="N34" s="13"/>
      <c r="O34" s="13"/>
      <c r="P34" s="13"/>
      <c r="Q34" s="13"/>
      <c r="R34" s="13"/>
      <c r="T34" s="21"/>
      <c r="U34" s="21"/>
      <c r="V34" s="21"/>
      <c r="W34" s="21"/>
      <c r="X34" s="21"/>
      <c r="Y34" s="22"/>
      <c r="AG34" s="18"/>
      <c r="AN34" s="18"/>
    </row>
    <row r="35" spans="1:40" s="16" customFormat="1" ht="24" customHeight="1" x14ac:dyDescent="0.2">
      <c r="A35" s="3" t="s">
        <v>40</v>
      </c>
      <c r="B35" s="7">
        <v>2018</v>
      </c>
      <c r="C35" s="3" t="s">
        <v>41</v>
      </c>
      <c r="D35" s="6">
        <v>46032</v>
      </c>
      <c r="E35" s="4">
        <v>2820</v>
      </c>
      <c r="F35" s="4">
        <v>2818</v>
      </c>
      <c r="G35" s="4">
        <v>1620</v>
      </c>
      <c r="H35" s="4">
        <v>1054</v>
      </c>
      <c r="I35" s="4">
        <v>662</v>
      </c>
      <c r="J35" s="4">
        <v>287</v>
      </c>
      <c r="K35" s="3"/>
      <c r="L35" s="10"/>
      <c r="M35" s="13"/>
      <c r="N35" s="13"/>
      <c r="O35" s="13"/>
      <c r="P35" s="13"/>
      <c r="Q35" s="13"/>
      <c r="R35" s="13"/>
      <c r="T35" s="21"/>
      <c r="U35" s="21"/>
      <c r="V35" s="21"/>
      <c r="W35" s="21"/>
      <c r="X35" s="21"/>
      <c r="Y35" s="22"/>
      <c r="AG35" s="18"/>
      <c r="AN35" s="18"/>
    </row>
    <row r="36" spans="1:40" s="16" customFormat="1" ht="24" customHeight="1" x14ac:dyDescent="0.2">
      <c r="A36" s="3" t="s">
        <v>38</v>
      </c>
      <c r="B36" s="7">
        <v>2019</v>
      </c>
      <c r="C36" s="3" t="s">
        <v>39</v>
      </c>
      <c r="D36" s="6">
        <v>46021</v>
      </c>
      <c r="E36" s="4">
        <v>2307</v>
      </c>
      <c r="F36" s="4">
        <v>2226</v>
      </c>
      <c r="G36" s="4">
        <v>1576</v>
      </c>
      <c r="H36" s="4">
        <v>1065</v>
      </c>
      <c r="I36" s="4">
        <v>682</v>
      </c>
      <c r="J36" s="4">
        <v>314</v>
      </c>
      <c r="K36" s="3"/>
      <c r="L36" s="10"/>
      <c r="M36" s="13"/>
      <c r="N36" s="13"/>
      <c r="O36" s="13"/>
      <c r="P36" s="13"/>
      <c r="Q36" s="13"/>
      <c r="R36" s="13"/>
      <c r="T36" s="21"/>
      <c r="U36" s="21"/>
      <c r="V36" s="21"/>
      <c r="W36" s="21"/>
      <c r="X36" s="21"/>
      <c r="Y36" s="22"/>
      <c r="AG36" s="18"/>
      <c r="AN36" s="18"/>
    </row>
    <row r="37" spans="1:40" s="16" customFormat="1" ht="24" customHeight="1" x14ac:dyDescent="0.2">
      <c r="A37" s="3" t="s">
        <v>36</v>
      </c>
      <c r="B37" s="7">
        <v>2013</v>
      </c>
      <c r="C37" s="3" t="s">
        <v>37</v>
      </c>
      <c r="D37" s="6">
        <v>46003</v>
      </c>
      <c r="E37" s="4">
        <v>4387</v>
      </c>
      <c r="F37" s="4">
        <v>4371</v>
      </c>
      <c r="G37" s="4">
        <v>1594</v>
      </c>
      <c r="H37" s="4">
        <v>978</v>
      </c>
      <c r="I37" s="4">
        <v>637</v>
      </c>
      <c r="J37" s="4">
        <v>294</v>
      </c>
      <c r="K37" s="3"/>
      <c r="L37" s="10"/>
      <c r="M37" s="13"/>
      <c r="N37" s="13"/>
      <c r="O37" s="13"/>
      <c r="P37" s="13"/>
      <c r="Q37" s="13"/>
      <c r="R37" s="13"/>
      <c r="T37" s="21"/>
      <c r="U37" s="21"/>
      <c r="V37" s="21"/>
      <c r="W37" s="21"/>
      <c r="X37" s="21"/>
      <c r="Y37" s="22"/>
      <c r="AG37" s="18"/>
      <c r="AN37" s="18"/>
    </row>
    <row r="38" spans="1:40" s="16" customFormat="1" ht="24" customHeight="1" x14ac:dyDescent="0.2">
      <c r="A38" s="3" t="s">
        <v>22</v>
      </c>
      <c r="B38" s="7">
        <v>1994</v>
      </c>
      <c r="C38" s="3" t="s">
        <v>24</v>
      </c>
      <c r="D38" s="6">
        <v>45964</v>
      </c>
      <c r="E38" s="4">
        <v>11457</v>
      </c>
      <c r="F38" s="4">
        <v>11444</v>
      </c>
      <c r="G38" s="4">
        <v>1555</v>
      </c>
      <c r="H38" s="4">
        <v>944</v>
      </c>
      <c r="I38" s="4">
        <v>590</v>
      </c>
      <c r="J38" s="4">
        <v>274</v>
      </c>
      <c r="K38" s="3"/>
      <c r="L38" s="10"/>
      <c r="M38" s="13"/>
      <c r="N38" s="13"/>
      <c r="O38" s="13"/>
      <c r="P38" s="13"/>
      <c r="Q38" s="13"/>
      <c r="R38" s="13"/>
      <c r="T38" s="21"/>
      <c r="U38" s="21"/>
      <c r="V38" s="21"/>
      <c r="W38" s="21"/>
      <c r="X38" s="21"/>
      <c r="Y38" s="22"/>
      <c r="AG38" s="18"/>
      <c r="AN38" s="18"/>
    </row>
    <row r="39" spans="1:40" s="16" customFormat="1" ht="24" customHeight="1" x14ac:dyDescent="0.2">
      <c r="A39" s="3" t="s">
        <v>21</v>
      </c>
      <c r="B39" s="7">
        <v>2007</v>
      </c>
      <c r="C39" s="3" t="s">
        <v>25</v>
      </c>
      <c r="D39" s="6">
        <v>45954</v>
      </c>
      <c r="E39" s="4">
        <v>6700</v>
      </c>
      <c r="F39" s="4">
        <v>6694</v>
      </c>
      <c r="G39" s="4">
        <v>1446</v>
      </c>
      <c r="H39" s="4">
        <v>894</v>
      </c>
      <c r="I39" s="4">
        <v>576</v>
      </c>
      <c r="J39" s="4">
        <v>269</v>
      </c>
      <c r="K39" s="3"/>
      <c r="L39" s="10"/>
      <c r="M39" s="13"/>
      <c r="N39" s="13"/>
      <c r="O39" s="13"/>
      <c r="P39" s="13"/>
      <c r="Q39" s="13"/>
      <c r="R39" s="13"/>
      <c r="T39" s="21"/>
      <c r="U39" s="21"/>
      <c r="V39" s="21"/>
      <c r="W39" s="21"/>
      <c r="X39" s="21"/>
      <c r="Y39" s="22"/>
      <c r="AG39" s="18"/>
      <c r="AN39" s="18"/>
    </row>
    <row r="40" spans="1:40" s="16" customFormat="1" ht="24" customHeight="1" x14ac:dyDescent="0.2">
      <c r="A40" s="3" t="s">
        <v>20</v>
      </c>
      <c r="B40" s="7">
        <v>2010</v>
      </c>
      <c r="C40" s="3" t="s">
        <v>26</v>
      </c>
      <c r="D40" s="6">
        <v>45951</v>
      </c>
      <c r="E40" s="4">
        <v>5585</v>
      </c>
      <c r="F40" s="4">
        <v>5578</v>
      </c>
      <c r="G40" s="4">
        <v>1733</v>
      </c>
      <c r="H40" s="4">
        <v>1034</v>
      </c>
      <c r="I40" s="4">
        <v>645</v>
      </c>
      <c r="J40" s="4">
        <v>283</v>
      </c>
      <c r="K40" s="3"/>
      <c r="L40" s="10"/>
      <c r="M40" s="13"/>
      <c r="N40" s="13"/>
      <c r="O40" s="13"/>
      <c r="P40" s="13"/>
      <c r="Q40" s="13"/>
      <c r="R40" s="13"/>
      <c r="T40" s="21"/>
      <c r="U40" s="21"/>
      <c r="V40" s="21"/>
      <c r="W40" s="21"/>
      <c r="X40" s="21"/>
      <c r="Y40" s="22"/>
      <c r="AG40" s="18"/>
      <c r="AN40" s="18"/>
    </row>
    <row r="41" spans="1:40" s="16" customFormat="1" ht="24" customHeight="1" x14ac:dyDescent="0.2">
      <c r="A41" s="3" t="s">
        <v>19</v>
      </c>
      <c r="B41" s="7">
        <v>2017</v>
      </c>
      <c r="C41" s="3" t="s">
        <v>27</v>
      </c>
      <c r="D41" s="6">
        <v>45939</v>
      </c>
      <c r="E41" s="4">
        <v>3182</v>
      </c>
      <c r="F41" s="4">
        <v>3150</v>
      </c>
      <c r="G41" s="4">
        <v>1569</v>
      </c>
      <c r="H41" s="4">
        <v>969</v>
      </c>
      <c r="I41" s="4">
        <v>607</v>
      </c>
      <c r="J41" s="4">
        <v>279</v>
      </c>
      <c r="K41" s="3"/>
      <c r="L41" s="10"/>
      <c r="M41" s="13"/>
      <c r="N41" s="13"/>
      <c r="O41" s="13"/>
      <c r="P41" s="13"/>
      <c r="Q41" s="13"/>
      <c r="R41" s="13"/>
      <c r="T41" s="21"/>
      <c r="U41" s="21"/>
      <c r="V41" s="21"/>
      <c r="W41" s="21"/>
      <c r="X41" s="21"/>
      <c r="Y41" s="22"/>
      <c r="AG41" s="18"/>
      <c r="AN41" s="18"/>
    </row>
    <row r="42" spans="1:40" s="16" customFormat="1" ht="24" customHeight="1" x14ac:dyDescent="0.2">
      <c r="A42" s="3" t="s">
        <v>18</v>
      </c>
      <c r="B42" s="7">
        <v>1994</v>
      </c>
      <c r="C42" s="3" t="s">
        <v>28</v>
      </c>
      <c r="D42" s="6">
        <v>45938</v>
      </c>
      <c r="E42" s="4">
        <v>11464</v>
      </c>
      <c r="F42" s="4">
        <v>11352</v>
      </c>
      <c r="G42" s="4">
        <v>1657</v>
      </c>
      <c r="H42" s="4">
        <v>1001</v>
      </c>
      <c r="I42" s="4">
        <v>616</v>
      </c>
      <c r="J42" s="4">
        <v>274</v>
      </c>
      <c r="K42" s="3"/>
      <c r="L42" s="12"/>
      <c r="M42" s="13"/>
      <c r="N42" s="13"/>
      <c r="O42" s="14"/>
      <c r="P42" s="13"/>
      <c r="Q42" s="13"/>
      <c r="R42" s="13"/>
      <c r="T42" s="21"/>
      <c r="U42" s="21"/>
      <c r="V42" s="21"/>
      <c r="W42" s="21"/>
      <c r="X42" s="21"/>
      <c r="Y42" s="22"/>
      <c r="AG42" s="18"/>
      <c r="AN42" s="18"/>
    </row>
    <row r="43" spans="1:40" s="16" customFormat="1" ht="24" customHeight="1" x14ac:dyDescent="0.2">
      <c r="A43" s="3" t="s">
        <v>17</v>
      </c>
      <c r="B43" s="7">
        <v>2016</v>
      </c>
      <c r="C43" s="3" t="s">
        <v>29</v>
      </c>
      <c r="D43" s="6">
        <v>45918</v>
      </c>
      <c r="E43" s="4">
        <v>3306</v>
      </c>
      <c r="F43" s="4">
        <v>3206</v>
      </c>
      <c r="G43" s="4">
        <v>1445</v>
      </c>
      <c r="H43" s="4">
        <v>810</v>
      </c>
      <c r="I43" s="4">
        <v>542</v>
      </c>
      <c r="J43" s="4">
        <v>253</v>
      </c>
      <c r="K43" s="3"/>
      <c r="L43" s="12"/>
      <c r="M43" s="13"/>
      <c r="N43" s="13"/>
      <c r="O43" s="14"/>
      <c r="P43" s="13"/>
      <c r="Q43" s="13"/>
      <c r="R43" s="13"/>
      <c r="T43" s="21"/>
      <c r="U43" s="21"/>
      <c r="V43" s="21"/>
      <c r="W43" s="21"/>
      <c r="X43" s="21"/>
      <c r="Y43" s="22"/>
      <c r="AG43" s="18"/>
      <c r="AN43" s="18"/>
    </row>
    <row r="44" spans="1:40" s="16" customFormat="1" ht="24" customHeight="1" x14ac:dyDescent="0.2">
      <c r="A44" s="3" t="s">
        <v>16</v>
      </c>
      <c r="B44" s="7">
        <v>2018</v>
      </c>
      <c r="C44" s="3" t="s">
        <v>30</v>
      </c>
      <c r="D44" s="6">
        <v>45902</v>
      </c>
      <c r="E44" s="4">
        <v>2468</v>
      </c>
      <c r="F44" s="4">
        <v>2457</v>
      </c>
      <c r="G44" s="4">
        <v>1429</v>
      </c>
      <c r="H44" s="4">
        <v>886</v>
      </c>
      <c r="I44" s="4">
        <v>587</v>
      </c>
      <c r="J44" s="4">
        <v>247</v>
      </c>
      <c r="K44" s="3"/>
      <c r="L44" s="12"/>
      <c r="M44" s="13"/>
      <c r="N44" s="13"/>
      <c r="O44" s="14"/>
      <c r="P44" s="13"/>
      <c r="Q44" s="13"/>
      <c r="R44" s="13"/>
      <c r="S44" s="23"/>
      <c r="T44" s="21"/>
      <c r="U44" s="21"/>
      <c r="V44" s="21"/>
      <c r="W44" s="21"/>
      <c r="X44" s="21"/>
      <c r="Y44" s="22"/>
      <c r="AG44" s="18"/>
      <c r="AN44" s="18"/>
    </row>
    <row r="45" spans="1:40" s="16" customFormat="1" ht="24" customHeight="1" x14ac:dyDescent="0.2">
      <c r="A45" s="3" t="s">
        <v>15</v>
      </c>
      <c r="B45" s="7">
        <v>2008</v>
      </c>
      <c r="C45" s="3" t="s">
        <v>26</v>
      </c>
      <c r="D45" s="6">
        <v>45889</v>
      </c>
      <c r="E45" s="4">
        <v>6247</v>
      </c>
      <c r="F45" s="4">
        <v>6245</v>
      </c>
      <c r="G45" s="4">
        <v>1620</v>
      </c>
      <c r="H45" s="4">
        <v>970</v>
      </c>
      <c r="I45" s="4">
        <v>592</v>
      </c>
      <c r="J45" s="4">
        <v>248</v>
      </c>
      <c r="K45" s="3"/>
      <c r="L45" s="12"/>
      <c r="M45" s="13"/>
      <c r="N45" s="13"/>
      <c r="O45" s="14"/>
      <c r="P45" s="13"/>
      <c r="Q45" s="13"/>
      <c r="R45" s="13"/>
      <c r="S45" s="23"/>
      <c r="T45" s="21"/>
      <c r="U45" s="21"/>
      <c r="V45" s="21"/>
      <c r="W45" s="21"/>
      <c r="X45" s="21"/>
      <c r="Y45" s="22"/>
      <c r="AG45" s="18"/>
      <c r="AN45" s="18"/>
    </row>
    <row r="46" spans="1:40" ht="24" customHeight="1" x14ac:dyDescent="0.2">
      <c r="A46" s="3" t="s">
        <v>14</v>
      </c>
      <c r="B46" s="7">
        <v>1998</v>
      </c>
      <c r="C46" s="3" t="s">
        <v>31</v>
      </c>
      <c r="D46" s="6">
        <v>45870</v>
      </c>
      <c r="E46" s="4">
        <v>9924</v>
      </c>
      <c r="F46" s="4">
        <v>9921</v>
      </c>
      <c r="G46" s="4">
        <v>1343</v>
      </c>
      <c r="H46" s="4">
        <v>797</v>
      </c>
      <c r="I46" s="4">
        <v>496</v>
      </c>
      <c r="J46" s="4">
        <v>200</v>
      </c>
      <c r="K46" s="5"/>
      <c r="L46" s="12"/>
      <c r="O46" s="14"/>
    </row>
    <row r="47" spans="1:40" ht="24" customHeight="1" x14ac:dyDescent="0.2">
      <c r="A47" s="3" t="s">
        <v>13</v>
      </c>
      <c r="B47" s="7">
        <v>2019</v>
      </c>
      <c r="C47" s="3" t="s">
        <v>32</v>
      </c>
      <c r="D47" s="6">
        <v>45771</v>
      </c>
      <c r="E47" s="4">
        <v>2064</v>
      </c>
      <c r="F47" s="4">
        <v>2033</v>
      </c>
      <c r="G47" s="4">
        <v>1448</v>
      </c>
      <c r="H47" s="4">
        <v>904</v>
      </c>
      <c r="I47" s="4">
        <v>533</v>
      </c>
      <c r="J47" s="4">
        <v>259</v>
      </c>
      <c r="K47" s="5"/>
      <c r="L47" s="12"/>
      <c r="O47" s="14"/>
    </row>
    <row r="48" spans="1:40" ht="24" customHeight="1" x14ac:dyDescent="0.2">
      <c r="A48" s="3" t="s">
        <v>12</v>
      </c>
      <c r="B48" s="7">
        <v>2019</v>
      </c>
      <c r="C48" s="3" t="s">
        <v>33</v>
      </c>
      <c r="D48" s="6">
        <v>45751</v>
      </c>
      <c r="E48" s="4">
        <v>2146</v>
      </c>
      <c r="F48" s="4">
        <v>2137</v>
      </c>
      <c r="G48" s="4">
        <v>1455</v>
      </c>
      <c r="H48" s="4">
        <v>898</v>
      </c>
      <c r="I48" s="4">
        <v>526</v>
      </c>
      <c r="J48" s="4">
        <v>239</v>
      </c>
      <c r="K48" s="5"/>
      <c r="L48" s="12"/>
      <c r="O48" s="14"/>
    </row>
    <row r="49" spans="1:15" ht="24" customHeight="1" x14ac:dyDescent="0.2">
      <c r="A49" s="3" t="s">
        <v>11</v>
      </c>
      <c r="B49" s="7">
        <v>2014</v>
      </c>
      <c r="C49" s="3" t="s">
        <v>26</v>
      </c>
      <c r="D49" s="6">
        <v>45745</v>
      </c>
      <c r="E49" s="4">
        <v>3808</v>
      </c>
      <c r="F49" s="4">
        <v>3798</v>
      </c>
      <c r="G49" s="4">
        <v>1327</v>
      </c>
      <c r="H49" s="4">
        <v>737</v>
      </c>
      <c r="I49" s="4">
        <v>432</v>
      </c>
      <c r="J49" s="4">
        <v>145</v>
      </c>
      <c r="K49" s="5"/>
      <c r="L49" s="12"/>
      <c r="O49" s="14"/>
    </row>
    <row r="50" spans="1:15" ht="24" customHeight="1" x14ac:dyDescent="0.2">
      <c r="A50" s="3" t="s">
        <v>10</v>
      </c>
      <c r="B50" s="7">
        <v>1999</v>
      </c>
      <c r="C50" s="3" t="s">
        <v>34</v>
      </c>
      <c r="D50" s="6">
        <v>45740</v>
      </c>
      <c r="E50" s="4">
        <v>9328</v>
      </c>
      <c r="F50" s="4">
        <v>9293</v>
      </c>
      <c r="G50" s="4">
        <v>1386</v>
      </c>
      <c r="H50" s="4">
        <v>811</v>
      </c>
      <c r="I50" s="4">
        <v>465</v>
      </c>
      <c r="J50" s="4">
        <v>220</v>
      </c>
      <c r="K50" s="5"/>
      <c r="L50" s="12"/>
      <c r="O50" s="14"/>
    </row>
    <row r="51" spans="1:15" ht="24" customHeight="1" x14ac:dyDescent="0.2">
      <c r="A51" s="3" t="s">
        <v>9</v>
      </c>
      <c r="B51" s="7">
        <v>2023</v>
      </c>
      <c r="C51" s="3" t="s">
        <v>35</v>
      </c>
      <c r="D51" s="6">
        <v>45714</v>
      </c>
      <c r="E51" s="4">
        <v>599</v>
      </c>
      <c r="F51" s="4">
        <v>589</v>
      </c>
      <c r="G51" s="4">
        <v>578</v>
      </c>
      <c r="H51" s="4">
        <v>496</v>
      </c>
      <c r="I51" s="4">
        <v>384</v>
      </c>
      <c r="J51" s="4">
        <v>187</v>
      </c>
      <c r="L51" s="12"/>
      <c r="O51" s="14"/>
    </row>
    <row r="52" spans="1:15" x14ac:dyDescent="0.2">
      <c r="L52" s="12"/>
      <c r="O52" s="14"/>
    </row>
    <row r="53" spans="1:15" x14ac:dyDescent="0.2">
      <c r="L53" s="12"/>
      <c r="O53" s="14"/>
    </row>
    <row r="54" spans="1:15" x14ac:dyDescent="0.2">
      <c r="L54" s="12"/>
      <c r="O54" s="14"/>
    </row>
    <row r="55" spans="1:15" x14ac:dyDescent="0.2">
      <c r="L55" s="12"/>
      <c r="O55" s="14"/>
    </row>
    <row r="56" spans="1:15" x14ac:dyDescent="0.2">
      <c r="L56" s="12"/>
      <c r="O56" s="14"/>
    </row>
    <row r="57" spans="1:15" x14ac:dyDescent="0.2">
      <c r="L57" s="12"/>
      <c r="O57" s="14"/>
    </row>
    <row r="58" spans="1:15" x14ac:dyDescent="0.2">
      <c r="L58" s="12"/>
      <c r="O58" s="14"/>
    </row>
    <row r="59" spans="1:15" x14ac:dyDescent="0.2">
      <c r="L59" s="12"/>
      <c r="O59" s="14"/>
    </row>
    <row r="60" spans="1:15" x14ac:dyDescent="0.2">
      <c r="L60" s="12"/>
      <c r="O60" s="14"/>
    </row>
    <row r="61" spans="1:15" x14ac:dyDescent="0.2">
      <c r="L61" s="12"/>
      <c r="O61" s="14"/>
    </row>
    <row r="62" spans="1:15" x14ac:dyDescent="0.2">
      <c r="L62" s="12"/>
      <c r="O62" s="14"/>
    </row>
    <row r="63" spans="1:15" x14ac:dyDescent="0.2">
      <c r="L63" s="12"/>
      <c r="O63" s="14"/>
    </row>
    <row r="64" spans="1:15" x14ac:dyDescent="0.2">
      <c r="L64" s="12"/>
      <c r="O64" s="14"/>
    </row>
    <row r="65" spans="12:15" x14ac:dyDescent="0.2">
      <c r="L65" s="12"/>
      <c r="O65" s="14"/>
    </row>
    <row r="66" spans="12:15" x14ac:dyDescent="0.2">
      <c r="L66" s="12"/>
      <c r="O66" s="14"/>
    </row>
    <row r="67" spans="12:15" x14ac:dyDescent="0.2">
      <c r="L67" s="12"/>
      <c r="O67" s="14"/>
    </row>
    <row r="68" spans="12:15" x14ac:dyDescent="0.2">
      <c r="L68" s="12"/>
      <c r="O68" s="14"/>
    </row>
    <row r="69" spans="12:15" x14ac:dyDescent="0.2">
      <c r="L69" s="12"/>
      <c r="O69" s="14"/>
    </row>
    <row r="70" spans="12:15" x14ac:dyDescent="0.2">
      <c r="L70" s="12"/>
      <c r="O70" s="14"/>
    </row>
  </sheetData>
  <mergeCells count="1">
    <mergeCell ref="T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2025-02-17T18:10:14Z</dcterms:created>
  <dcterms:modified xsi:type="dcterms:W3CDTF">2026-08-10T03:44:35Z</dcterms:modified>
</cp:coreProperties>
</file>